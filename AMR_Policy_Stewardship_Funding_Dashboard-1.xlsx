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Notes &amp; Methodology" sheetId="3" state="visible" r:id="rId5"/>
  </sheets>
  <definedNames>
    <definedName function="false" hidden="false" localSheetId="0" name="_xlnm.Print_Area" vbProcedure="false">Dashboard!$A$1:$J$78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<sst xmlns="http://schemas.openxmlformats.org/spreadsheetml/2006/main" count="85" uniqueCount="76">
  <si>
    <t xml:space="preserve">AMR POLICY &amp; STEWARDSHIP FUNDING DASHBOARD</t>
  </si>
  <si>
    <t xml:space="preserve">For government officials, funding donors &amp; stewardship advocates  |  Projects.csv joined with SPIDAAR/Acinetobacter/GEARS  |  AMRChallenge: 00013425</t>
  </si>
  <si>
    <t xml:space="preserve">TOTAL AMR R&amp;D FUNDING 2013-25</t>
  </si>
  <si>
    <t xml:space="preserve">PEAK FUNDING YEAR</t>
  </si>
  <si>
    <t xml:space="preserve">FUNDING CHANGE SINCE PEAK</t>
  </si>
  <si>
    <t xml:space="preserve">LEAST-FUNDED HIGH-RESISTANCE GROUP</t>
  </si>
  <si>
    <t xml:space="preserve">Enterococcus</t>
  </si>
  <si>
    <t xml:space="preserve">USD, Projects.csv</t>
  </si>
  <si>
    <t xml:space="preserve">$2.38B that year</t>
  </si>
  <si>
    <t xml:space="preserve">2025 vs 2020</t>
  </si>
  <si>
    <t xml:space="preserve">$314M — lowest of 6 matched groups, tied-highest MDR</t>
  </si>
  <si>
    <t xml:space="preserve">FUNDING TREND OVER TIME</t>
  </si>
  <si>
    <t xml:space="preserve">TOP FUNDER COUNTRIES</t>
  </si>
  <si>
    <t xml:space="preserve">FUNDING BY SECTOR TYPE PER YEAR</t>
  </si>
  <si>
    <t xml:space="preserve">IS FUNDING MATCHED TO RESISTANCE BURDEN? (the core join)</t>
  </si>
  <si>
    <t xml:space="preserve">AFRICA (SPIDAAR) VS GLOBAL RESISTANCE GAP</t>
  </si>
  <si>
    <t xml:space="preserve">2020 PEAK: FUNDING BY DISEASE CATEGORY</t>
  </si>
  <si>
    <t xml:space="preserve">KEY TAKEAWAYS FOR POLICY &amp; FUNDING DECISIONS</t>
  </si>
  <si>
    <t xml:space="preserve">1. FUNDING VS. RESISTANCE MISMATCH: Enterococcus and Streptococcus are tied for the highest clinical MDR rate (100%), but Enterococcus receives the LOWEST R&amp;D funding of the 6 matched bacteria groups ($314M). Pseudomonas has the LOWEST resistance rate (42.9%) yet is the 3rd best-funded group ($1.34B). Funding allocation does not track clinical resistance burden.
2. AFRICA VS. GLOBAL GAP: Where both an Africa-specific and a global resistance figure exist (Acinetobacter, Pseudomonas), Africa's rate runs 24-28 percentage points HIGHER than the global rate — yet funding is dominated by US/EU/UK funders (&gt;50% of all tracked funding) with no visible regional targeting toward the highest-burden regions.
3. FUNDING TREND: Total AMR R&amp;D funding peaked in 2020 (~$2.38B) and has declined since to ~$900M (2025), even as project counts stayed relatively high — implying shrinking average award size, not just fewer projects being funded.
4. SECTOR FOCUS: 'Human'-only funding consistently dominates each year; One Health (multi-sector) funding has grown as a share of the total since ~2018 — worth watching as a signal of strategic shift, though this could also reflect improved tagging in later records rather than a real reallocation.
See the Notes &amp; Methodology tab for the caveats behind each finding before presenting them.</t>
  </si>
  <si>
    <t xml:space="preserve">AMR R&amp;D Funding by Year (2013-2025)</t>
  </si>
  <si>
    <t xml:space="preserve">Year</t>
  </si>
  <si>
    <t xml:space="preserve">Projects</t>
  </si>
  <si>
    <t xml:space="preserve">Total USD</t>
  </si>
  <si>
    <t xml:space="preserve">Top 10 Funder Countries (all years)</t>
  </si>
  <si>
    <t xml:space="preserve">Funder Country</t>
  </si>
  <si>
    <t xml:space="preserve">United States</t>
  </si>
  <si>
    <t xml:space="preserve">European Union</t>
  </si>
  <si>
    <t xml:space="preserve">United Kingdom</t>
  </si>
  <si>
    <t xml:space="preserve">Global Partnership</t>
  </si>
  <si>
    <t xml:space="preserve">Australia</t>
  </si>
  <si>
    <t xml:space="preserve">Germany</t>
  </si>
  <si>
    <t xml:space="preserve">Denmark</t>
  </si>
  <si>
    <t xml:space="preserve">Switzerland</t>
  </si>
  <si>
    <t xml:space="preserve">Sweden</t>
  </si>
  <si>
    <t xml:space="preserve">Funding by Sector Type per Year (2013-2025)</t>
  </si>
  <si>
    <t xml:space="preserve">Animal only</t>
  </si>
  <si>
    <t xml:space="preserve">Human only</t>
  </si>
  <si>
    <t xml:space="preserve">Multi-sector (One Health)</t>
  </si>
  <si>
    <t xml:space="preserve">Not specified</t>
  </si>
  <si>
    <t xml:space="preserve">2020 Peak Year — Top Disease Categories</t>
  </si>
  <si>
    <t xml:space="preserve">Disease</t>
  </si>
  <si>
    <t xml:space="preserve">Tuberculosis</t>
  </si>
  <si>
    <t xml:space="preserve">Urinary tract infection (UTIs)</t>
  </si>
  <si>
    <t xml:space="preserve">Respiratory tract infections (RTIs)</t>
  </si>
  <si>
    <t xml:space="preserve">Sepsis (incl. Host response to infection)</t>
  </si>
  <si>
    <t xml:space="preserve">Gastrointestinal tract infections</t>
  </si>
  <si>
    <t xml:space="preserve">Skin and soft tissue infections</t>
  </si>
  <si>
    <t xml:space="preserve">Sexually transmissible infections (STIs)</t>
  </si>
  <si>
    <t xml:space="preserve">JOINED: Clinical MDR Rate vs R&amp;D Funding, by Bacteria Group</t>
  </si>
  <si>
    <t xml:space="preserve">Bacteria Group</t>
  </si>
  <si>
    <t xml:space="preserve">MDR Rate</t>
  </si>
  <si>
    <t xml:space="preserve">AMR R&amp;D Funding (USD)</t>
  </si>
  <si>
    <t xml:space="preserve">Funded Projects</t>
  </si>
  <si>
    <t xml:space="preserve">Streptococcus</t>
  </si>
  <si>
    <t xml:space="preserve">Enterobacterales</t>
  </si>
  <si>
    <t xml:space="preserve">Staphylococcus (incl. S. aureus)</t>
  </si>
  <si>
    <t xml:space="preserve">Acinetobacter</t>
  </si>
  <si>
    <t xml:space="preserve">Pseudomonas</t>
  </si>
  <si>
    <t xml:space="preserve">Africa (SPIDAAR) vs Global Resistance — where both exist</t>
  </si>
  <si>
    <t xml:space="preserve">Africa Resistance (SPIDAAR)</t>
  </si>
  <si>
    <t xml:space="preserve">Global Resistance</t>
  </si>
  <si>
    <t xml:space="preserve">Global Data Source</t>
  </si>
  <si>
    <t xml:space="preserve">Acinetobacter dataset (n=5,032, 2016 peak, avg of 5 antibiotics)</t>
  </si>
  <si>
    <t xml:space="preserve">GEARS (n=29,365, meropenem, 2021 peak)</t>
  </si>
  <si>
    <t xml:space="preserve">Source: Acinetobacter dataset &amp; GEARS sections of report</t>
  </si>
  <si>
    <t xml:space="preserve">NOTES, METHODOLOGY &amp; LIMITATIONS</t>
  </si>
  <si>
    <t xml:space="preserve">Sources</t>
  </si>
  <si>
    <t xml:space="preserve">Combines Projects.csv (Global AMR R&amp;D funding database, 20,663 projects, 1975-2026, restricted to 2013-2025 for trend charts) with clinical resistance figures from SPIDAAR_AMR_Analysis_Report.docx (SPIDAAR, Acinetobacter, GEARS/Venatorx sections).</t>
  </si>
  <si>
    <t xml:space="preserve">The genus-tag join</t>
  </si>
  <si>
    <t xml:space="preserve">No shared record ID exists between the funding and clinical datasets. The join works by matching each bacteria genus tagged in a project's 'Categories' field in Projects.csv (e.g. 'Acinetobacter spp.') to the same genus/group in the clinical MDR-rate analysis. A project can carry more than one genus tag, so funding figures per group are not strictly additive across groups.</t>
  </si>
  <si>
    <t xml:space="preserve">Africa vs Global comparison</t>
  </si>
  <si>
    <t xml:space="preserve">Only Acinetobacter and Pseudomonas have both an Africa-specific (SPIDAAR) and a global (Acinetobacter dataset / GEARS) resistance figure. The metrics are not perfectly like-for-like: SPIDAAR reports true MDR% (resistant to 3+ drug classes) while the global figures are resistance to a specific drug or an average across a few drugs — the gap is directional, not precise.</t>
  </si>
  <si>
    <t xml:space="preserve">2020 funding peak</t>
  </si>
  <si>
    <t xml:space="preserve">Broad-based across many funders (top 10 projects = only ~22% of that year's total), not one mega-grant. No COVID/SARS category exists in this dataset, so a pandemic-era funding bump can't be confirmed or ruled out from this data alone.</t>
  </si>
  <si>
    <t xml:space="preserve">Funder concentration caveat</t>
  </si>
  <si>
    <t xml:space="preserve">The US accounts for over half of all tracked funding. This may partly reflect reporting/database completeness bias (US funders may be better represented in this register) rather than pure funding reality.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</si>
</sst>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,,\M"/>
    <numFmt numFmtId="166" formatCode="\+0%;\-0%"/>
    <numFmt numFmtId="167" formatCode="0%"/>
    <numFmt numFmtId="168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sz val="8"/>
      <color rgb="FF7F7F7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D9D9D9"/>
      </patternFill>
    </fill>
    <fill>
      <patternFill patternType="solid">
        <fgColor rgb="FF2E75B6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7F7F7F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4A7EBB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AMR R&amp;D Funding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Data!C3</c:f>
              <c:strCache>
                <c:ptCount val="1"/>
                <c:pt idx="0">
                  <c:v>Total USD</c:v>
                </c:pt>
              </c:strCache>
            </c:strRef>
          </c:tx>
          <c:spPr>
            <a:solidFill>
              <a:srgbClr val="4a7ebb"/>
            </a:solidFill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Data!$A$4:$A$16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Top 10 Funder Countries (all years)</c:v>
                </c:pt>
              </c:strCache>
            </c:strRef>
          </c:cat>
          <c:val>
            <c:numRef>
              <c:f>Data!$C$4:$C$16</c:f>
              <c:numCache>
                <c:formatCode>\$#,##0,,\M</c:formatCode>
                <c:ptCount val="13"/>
                <c:pt idx="0">
                  <c:v>414680584.49</c:v>
                </c:pt>
                <c:pt idx="1">
                  <c:v>473905241.87</c:v>
                </c:pt>
                <c:pt idx="2">
                  <c:v>994929075.11</c:v>
                </c:pt>
                <c:pt idx="3">
                  <c:v>1501766816.66</c:v>
                </c:pt>
                <c:pt idx="4">
                  <c:v>1936191996.19</c:v>
                </c:pt>
                <c:pt idx="5">
                  <c:v>1836741752.61</c:v>
                </c:pt>
                <c:pt idx="6">
                  <c:v>1992098149.47</c:v>
                </c:pt>
                <c:pt idx="7">
                  <c:v>2380084868.59</c:v>
                </c:pt>
                <c:pt idx="8">
                  <c:v>2047241102.66</c:v>
                </c:pt>
                <c:pt idx="9">
                  <c:v>1451451204.08</c:v>
                </c:pt>
                <c:pt idx="10">
                  <c:v>1781526163.76</c:v>
                </c:pt>
                <c:pt idx="11">
                  <c:v>1547693685.16</c:v>
                </c:pt>
                <c:pt idx="12">
                  <c:v>901667266.66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76896"/>
        <c:axId val="47103519"/>
      </c:lineChart>
      <c:catAx>
        <c:axId val="6676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03519"/>
        <c:crosses val="autoZero"/>
        <c:auto val="1"/>
        <c:lblAlgn val="ctr"/>
        <c:lblOffset val="100"/>
        <c:noMultiLvlLbl val="0"/>
      </c:catAx>
      <c:valAx>
        <c:axId val="47103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68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Funding by Funder Country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Data!C17</c:f>
              <c:strCache>
                <c:ptCount val="1"/>
                <c:pt idx="0">
                  <c:v>Total USD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Data!$A$18:$A$27</c:f>
              <c:strCache>
                <c:ptCount val="10"/>
                <c:pt idx="0">
                  <c:v>United States</c:v>
                </c:pt>
                <c:pt idx="1">
                  <c:v>European Union</c:v>
                </c:pt>
                <c:pt idx="2">
                  <c:v>United Kingdom</c:v>
                </c:pt>
                <c:pt idx="3">
                  <c:v>Global Partnership</c:v>
                </c:pt>
                <c:pt idx="4">
                  <c:v>Australia</c:v>
                </c:pt>
                <c:pt idx="5">
                  <c:v>Germany</c:v>
                </c:pt>
                <c:pt idx="6">
                  <c:v>Denmark</c:v>
                </c:pt>
                <c:pt idx="7">
                  <c:v>Switzerland</c:v>
                </c:pt>
                <c:pt idx="8">
                  <c:v>Sweden</c:v>
                </c:pt>
                <c:pt idx="9">
                  <c:v>Funding by Sector Type per Year (2013-2025)</c:v>
                </c:pt>
              </c:strCache>
            </c:strRef>
          </c:cat>
          <c:val>
            <c:numRef>
              <c:f>Data!$C$18:$C$27</c:f>
              <c:numCache>
                <c:formatCode>\$#,##0,,\M</c:formatCode>
                <c:ptCount val="10"/>
                <c:pt idx="0">
                  <c:v>10388368964.08</c:v>
                </c:pt>
                <c:pt idx="1">
                  <c:v>2906263842.77</c:v>
                </c:pt>
                <c:pt idx="2">
                  <c:v>2895619164.14</c:v>
                </c:pt>
                <c:pt idx="3">
                  <c:v>766674145.67</c:v>
                </c:pt>
                <c:pt idx="4">
                  <c:v>440515154.58</c:v>
                </c:pt>
                <c:pt idx="5">
                  <c:v>434803721.76</c:v>
                </c:pt>
                <c:pt idx="6">
                  <c:v>339330015.32</c:v>
                </c:pt>
                <c:pt idx="7">
                  <c:v>292301749.16</c:v>
                </c:pt>
                <c:pt idx="8">
                  <c:v>255117712.59</c:v>
                </c:pt>
                <c:pt idx="9">
                  <c:v>241270634.86</c:v>
                </c:pt>
              </c:numCache>
            </c:numRef>
          </c:val>
        </c:ser>
        <c:gapWidth val="60"/>
        <c:overlap val="0"/>
        <c:axId val="42957666"/>
        <c:axId val="94518305"/>
      </c:barChart>
      <c:catAx>
        <c:axId val="429576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18305"/>
        <c:crosses val="autoZero"/>
        <c:auto val="1"/>
        <c:lblAlgn val="ctr"/>
        <c:lblOffset val="100"/>
        <c:noMultiLvlLbl val="0"/>
      </c:catAx>
      <c:valAx>
        <c:axId val="945183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576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Data!B28</c:f>
              <c:strCache>
                <c:ptCount val="1"/>
                <c:pt idx="0">
                  <c:v>Animal only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Data!$A$29:$A$41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2020 Peak Year — Top Disease Categories</c:v>
                </c:pt>
              </c:strCache>
            </c:strRef>
          </c:cat>
          <c:val>
            <c:numRef>
              <c:f>Data!$B$29:$B$41</c:f>
              <c:numCache>
                <c:formatCode>\$#,##0,,\M</c:formatCode>
                <c:ptCount val="13"/>
                <c:pt idx="0">
                  <c:v>4721452.12</c:v>
                </c:pt>
                <c:pt idx="1">
                  <c:v>14614064.05</c:v>
                </c:pt>
                <c:pt idx="2">
                  <c:v>78437005.33</c:v>
                </c:pt>
                <c:pt idx="3">
                  <c:v>149741242.23</c:v>
                </c:pt>
                <c:pt idx="4">
                  <c:v>112144900.1</c:v>
                </c:pt>
                <c:pt idx="5">
                  <c:v>100950823.88</c:v>
                </c:pt>
                <c:pt idx="6">
                  <c:v>139894876.62</c:v>
                </c:pt>
                <c:pt idx="7">
                  <c:v>64490439.34</c:v>
                </c:pt>
                <c:pt idx="8">
                  <c:v>56971208.62</c:v>
                </c:pt>
                <c:pt idx="9">
                  <c:v>70532240.54</c:v>
                </c:pt>
                <c:pt idx="10">
                  <c:v>66788031.91</c:v>
                </c:pt>
                <c:pt idx="11">
                  <c:v>80088117.66</c:v>
                </c:pt>
                <c:pt idx="12">
                  <c:v>12711057.4</c:v>
                </c:pt>
              </c:numCache>
            </c:numRef>
          </c:val>
        </c:ser>
        <c:ser>
          <c:idx val="1"/>
          <c:order val="1"/>
          <c:tx>
            <c:strRef>
              <c:f>Data!C28</c:f>
              <c:strCache>
                <c:ptCount val="1"/>
                <c:pt idx="0">
                  <c:v>Human only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Data!$A$29:$A$41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2020 Peak Year — Top Disease Categories</c:v>
                </c:pt>
              </c:strCache>
            </c:strRef>
          </c:cat>
          <c:val>
            <c:numRef>
              <c:f>Data!$C$29:$C$41</c:f>
              <c:numCache>
                <c:formatCode>\$#,##0,,\M</c:formatCode>
                <c:ptCount val="13"/>
                <c:pt idx="0">
                  <c:v>387628197.67</c:v>
                </c:pt>
                <c:pt idx="1">
                  <c:v>432012186.73</c:v>
                </c:pt>
                <c:pt idx="2">
                  <c:v>843628440.01</c:v>
                </c:pt>
                <c:pt idx="3">
                  <c:v>1216385124.67</c:v>
                </c:pt>
                <c:pt idx="4">
                  <c:v>1698465724.09</c:v>
                </c:pt>
                <c:pt idx="5">
                  <c:v>1516241350.17</c:v>
                </c:pt>
                <c:pt idx="6">
                  <c:v>1662533759.23</c:v>
                </c:pt>
                <c:pt idx="7">
                  <c:v>2056420175.35</c:v>
                </c:pt>
                <c:pt idx="8">
                  <c:v>1782890532.97</c:v>
                </c:pt>
                <c:pt idx="9">
                  <c:v>1107366010.37</c:v>
                </c:pt>
                <c:pt idx="10">
                  <c:v>1514409862.1</c:v>
                </c:pt>
                <c:pt idx="11">
                  <c:v>1223790127.65</c:v>
                </c:pt>
                <c:pt idx="12">
                  <c:v>691410055.7</c:v>
                </c:pt>
              </c:numCache>
            </c:numRef>
          </c:val>
        </c:ser>
        <c:ser>
          <c:idx val="2"/>
          <c:order val="2"/>
          <c:tx>
            <c:strRef>
              <c:f>Data!D28</c:f>
              <c:strCache>
                <c:ptCount val="1"/>
                <c:pt idx="0">
                  <c:v>Multi-sector (One Health)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Data!$A$29:$A$41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2020 Peak Year — Top Disease Categories</c:v>
                </c:pt>
              </c:strCache>
            </c:strRef>
          </c:cat>
          <c:val>
            <c:numRef>
              <c:f>Data!$D$29:$D$41</c:f>
              <c:numCache>
                <c:formatCode>\$#,##0,,\M</c:formatCode>
                <c:ptCount val="13"/>
                <c:pt idx="0">
                  <c:v>13100632.31</c:v>
                </c:pt>
                <c:pt idx="1">
                  <c:v>20318632.07</c:v>
                </c:pt>
                <c:pt idx="2">
                  <c:v>49516436</c:v>
                </c:pt>
                <c:pt idx="3">
                  <c:v>107730817.87</c:v>
                </c:pt>
                <c:pt idx="4">
                  <c:v>102691085.33</c:v>
                </c:pt>
                <c:pt idx="5">
                  <c:v>188456324.93</c:v>
                </c:pt>
                <c:pt idx="6">
                  <c:v>153906652.65</c:v>
                </c:pt>
                <c:pt idx="7">
                  <c:v>227360591.71</c:v>
                </c:pt>
                <c:pt idx="8">
                  <c:v>142344548.98</c:v>
                </c:pt>
                <c:pt idx="9">
                  <c:v>205360621.01</c:v>
                </c:pt>
                <c:pt idx="10">
                  <c:v>146378127.77</c:v>
                </c:pt>
                <c:pt idx="11">
                  <c:v>222207782.87</c:v>
                </c:pt>
                <c:pt idx="12">
                  <c:v>188367352.91</c:v>
                </c:pt>
              </c:numCache>
            </c:numRef>
          </c:val>
        </c:ser>
        <c:ser>
          <c:idx val="3"/>
          <c:order val="3"/>
          <c:tx>
            <c:strRef>
              <c:f>Data!E28</c:f>
              <c:strCache>
                <c:ptCount val="1"/>
                <c:pt idx="0">
                  <c:v>Not specified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Data!$A$29:$A$41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2020 Peak Year — Top Disease Categories</c:v>
                </c:pt>
              </c:strCache>
            </c:strRef>
          </c:cat>
          <c:val>
            <c:numRef>
              <c:f>Data!$E$29:$E$41</c:f>
              <c:numCache>
                <c:formatCode>\$#,##0,,\M</c:formatCode>
                <c:ptCount val="13"/>
                <c:pt idx="0">
                  <c:v>9230302.39</c:v>
                </c:pt>
                <c:pt idx="1">
                  <c:v>6960359.02</c:v>
                </c:pt>
                <c:pt idx="2">
                  <c:v>23347193.77</c:v>
                </c:pt>
                <c:pt idx="3">
                  <c:v>27909631.89</c:v>
                </c:pt>
                <c:pt idx="4">
                  <c:v>22890286.67</c:v>
                </c:pt>
                <c:pt idx="5">
                  <c:v>31093253.63</c:v>
                </c:pt>
                <c:pt idx="6">
                  <c:v>35762860.97</c:v>
                </c:pt>
                <c:pt idx="7">
                  <c:v>31813662.19</c:v>
                </c:pt>
                <c:pt idx="8">
                  <c:v>65034812.09</c:v>
                </c:pt>
                <c:pt idx="9">
                  <c:v>68192332.16</c:v>
                </c:pt>
                <c:pt idx="10">
                  <c:v>53950141.98</c:v>
                </c:pt>
                <c:pt idx="11">
                  <c:v>21607656.98</c:v>
                </c:pt>
                <c:pt idx="12">
                  <c:v>9178800.65</c:v>
                </c:pt>
              </c:numCache>
            </c:numRef>
          </c:val>
        </c:ser>
        <c:gapWidth val="60"/>
        <c:overlap val="100"/>
        <c:axId val="5957529"/>
        <c:axId val="5238192"/>
      </c:barChart>
      <c:catAx>
        <c:axId val="59575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8192"/>
        <c:crosses val="autoZero"/>
        <c:auto val="1"/>
        <c:lblAlgn val="ctr"/>
        <c:lblOffset val="100"/>
        <c:noMultiLvlLbl val="0"/>
      </c:catAx>
      <c:valAx>
        <c:axId val="5238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75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Data!C51</c:f>
              <c:strCache>
                <c:ptCount val="1"/>
                <c:pt idx="0">
                  <c:v>AMR R&amp;D Funding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Data!$A$52:$A$57</c:f>
              <c:strCache>
                <c:ptCount val="6"/>
                <c:pt idx="0">
                  <c:v>Enterococcus</c:v>
                </c:pt>
                <c:pt idx="1">
                  <c:v>Streptococcus</c:v>
                </c:pt>
                <c:pt idx="2">
                  <c:v>Enterobacterales</c:v>
                </c:pt>
                <c:pt idx="3">
                  <c:v>Staphylococcus (incl. S. aureus)</c:v>
                </c:pt>
                <c:pt idx="4">
                  <c:v>Acinetobacter</c:v>
                </c:pt>
                <c:pt idx="5">
                  <c:v>Pseudomonas</c:v>
                </c:pt>
              </c:strCache>
            </c:strRef>
          </c:cat>
          <c:val>
            <c:numRef>
              <c:f>Data!$C$52:$C$57</c:f>
              <c:numCache>
                <c:formatCode>\$#,##0,,\M</c:formatCode>
                <c:ptCount val="6"/>
                <c:pt idx="0">
                  <c:v>313851533.61</c:v>
                </c:pt>
                <c:pt idx="1">
                  <c:v>925859751.63</c:v>
                </c:pt>
                <c:pt idx="2">
                  <c:v>2565419998.31</c:v>
                </c:pt>
                <c:pt idx="3">
                  <c:v>1472332823.65</c:v>
                </c:pt>
                <c:pt idx="4">
                  <c:v>638777189.02</c:v>
                </c:pt>
                <c:pt idx="5">
                  <c:v>1335884831.89</c:v>
                </c:pt>
              </c:numCache>
            </c:numRef>
          </c:val>
        </c:ser>
        <c:gapWidth val="60"/>
        <c:overlap val="0"/>
        <c:axId val="66738841"/>
        <c:axId val="92533037"/>
      </c:barChart>
      <c:lineChart>
        <c:grouping val="standard"/>
        <c:varyColors val="0"/>
        <c:ser>
          <c:idx val="1"/>
          <c:order val="1"/>
          <c:tx>
            <c:strRef>
              <c:f>Data!B51</c:f>
              <c:strCache>
                <c:ptCount val="1"/>
                <c:pt idx="0">
                  <c:v>MDR Rate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Data!$A$52:$A$57</c:f>
              <c:strCache>
                <c:ptCount val="6"/>
                <c:pt idx="0">
                  <c:v>Enterococcus</c:v>
                </c:pt>
                <c:pt idx="1">
                  <c:v>Streptococcus</c:v>
                </c:pt>
                <c:pt idx="2">
                  <c:v>Enterobacterales</c:v>
                </c:pt>
                <c:pt idx="3">
                  <c:v>Staphylococcus (incl. S. aureus)</c:v>
                </c:pt>
                <c:pt idx="4">
                  <c:v>Acinetobacter</c:v>
                </c:pt>
                <c:pt idx="5">
                  <c:v>Pseudomonas</c:v>
                </c:pt>
              </c:strCache>
            </c:strRef>
          </c:cat>
          <c:val>
            <c:numRef>
              <c:f>Data!$B$52:$B$57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0.806</c:v>
                </c:pt>
                <c:pt idx="3">
                  <c:v>0.786</c:v>
                </c:pt>
                <c:pt idx="4">
                  <c:v>0.737</c:v>
                </c:pt>
                <c:pt idx="5">
                  <c:v>0.429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5386510"/>
        <c:axId val="31941687"/>
      </c:lineChart>
      <c:catAx>
        <c:axId val="667388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33037"/>
        <c:crosses val="autoZero"/>
        <c:auto val="1"/>
        <c:lblAlgn val="ctr"/>
        <c:lblOffset val="100"/>
        <c:noMultiLvlLbl val="0"/>
      </c:catAx>
      <c:valAx>
        <c:axId val="92533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38841"/>
        <c:crosses val="autoZero"/>
        <c:crossBetween val="between"/>
      </c:valAx>
      <c:catAx>
        <c:axId val="95386510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41687"/>
        <c:crosses val="autoZero"/>
        <c:auto val="1"/>
        <c:lblAlgn val="ctr"/>
        <c:lblOffset val="100"/>
        <c:noMultiLvlLbl val="0"/>
      </c:catAx>
      <c:valAx>
        <c:axId val="3194168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MDR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8651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Data!B59</c:f>
              <c:strCache>
                <c:ptCount val="1"/>
                <c:pt idx="0">
                  <c:v>Africa Resistance (SPIDAAR)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Data!$A$60:$A$61</c:f>
              <c:strCache>
                <c:ptCount val="2"/>
                <c:pt idx="0">
                  <c:v>Acinetobacter</c:v>
                </c:pt>
                <c:pt idx="1">
                  <c:v>Pseudomonas</c:v>
                </c:pt>
              </c:strCache>
            </c:strRef>
          </c:cat>
          <c:val>
            <c:numRef>
              <c:f>Data!$B$60:$B$61</c:f>
              <c:numCache>
                <c:formatCode>0.0%</c:formatCode>
                <c:ptCount val="2"/>
                <c:pt idx="0">
                  <c:v>0.737</c:v>
                </c:pt>
                <c:pt idx="1">
                  <c:v>0.429</c:v>
                </c:pt>
              </c:numCache>
            </c:numRef>
          </c:val>
        </c:ser>
        <c:ser>
          <c:idx val="1"/>
          <c:order val="1"/>
          <c:tx>
            <c:strRef>
              <c:f>Data!C59</c:f>
              <c:strCache>
                <c:ptCount val="1"/>
                <c:pt idx="0">
                  <c:v>Global Resistance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Data!$A$60:$A$61</c:f>
              <c:strCache>
                <c:ptCount val="2"/>
                <c:pt idx="0">
                  <c:v>Acinetobacter</c:v>
                </c:pt>
                <c:pt idx="1">
                  <c:v>Pseudomonas</c:v>
                </c:pt>
              </c:strCache>
            </c:strRef>
          </c:cat>
          <c:val>
            <c:numRef>
              <c:f>Data!$C$60:$C$61</c:f>
              <c:numCache>
                <c:formatCode>0.0%</c:formatCode>
                <c:ptCount val="2"/>
                <c:pt idx="0">
                  <c:v>0.455</c:v>
                </c:pt>
                <c:pt idx="1">
                  <c:v>0.191</c:v>
                </c:pt>
              </c:numCache>
            </c:numRef>
          </c:val>
        </c:ser>
        <c:gapWidth val="60"/>
        <c:overlap val="0"/>
        <c:axId val="25317716"/>
        <c:axId val="40360631"/>
      </c:barChart>
      <c:catAx>
        <c:axId val="253177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60631"/>
        <c:crosses val="autoZero"/>
        <c:auto val="1"/>
        <c:lblAlgn val="ctr"/>
        <c:lblOffset val="100"/>
        <c:noMultiLvlLbl val="0"/>
      </c:catAx>
      <c:valAx>
        <c:axId val="40360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177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Data!C42</c:f>
              <c:strCache>
                <c:ptCount val="1"/>
                <c:pt idx="0">
                  <c:v>Total USD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Data!$A$43:$A$50</c:f>
              <c:strCache>
                <c:ptCount val="8"/>
                <c:pt idx="0">
                  <c:v>Tuberculosis</c:v>
                </c:pt>
                <c:pt idx="1">
                  <c:v>Urinary tract infection (UTIs)</c:v>
                </c:pt>
                <c:pt idx="2">
                  <c:v>Respiratory tract infections (RTIs)</c:v>
                </c:pt>
                <c:pt idx="3">
                  <c:v>Sepsis (incl. Host response to infection)</c:v>
                </c:pt>
                <c:pt idx="4">
                  <c:v>Gastrointestinal tract infections</c:v>
                </c:pt>
                <c:pt idx="5">
                  <c:v>Skin and soft tissue infections</c:v>
                </c:pt>
                <c:pt idx="6">
                  <c:v>Sexually transmissible infections (STIs)</c:v>
                </c:pt>
                <c:pt idx="7">
                  <c:v>JOINED: Clinical MDR Rate vs R&amp;D Funding, by Bacteria Group</c:v>
                </c:pt>
              </c:strCache>
            </c:strRef>
          </c:cat>
          <c:val>
            <c:numRef>
              <c:f>Data!$C$43:$C$50</c:f>
              <c:numCache>
                <c:formatCode>\$#,##0,,\M</c:formatCode>
                <c:ptCount val="8"/>
                <c:pt idx="0">
                  <c:v>662761175.48</c:v>
                </c:pt>
                <c:pt idx="1">
                  <c:v>113201301.8</c:v>
                </c:pt>
                <c:pt idx="2">
                  <c:v>96087478.57</c:v>
                </c:pt>
                <c:pt idx="3">
                  <c:v>79558826.9</c:v>
                </c:pt>
                <c:pt idx="4">
                  <c:v>69107408.9</c:v>
                </c:pt>
                <c:pt idx="5">
                  <c:v>45123571.66</c:v>
                </c:pt>
                <c:pt idx="6">
                  <c:v>41854052.41</c:v>
                </c:pt>
                <c:pt idx="7">
                  <c:v>29668555.91</c:v>
                </c:pt>
              </c:numCache>
            </c:numRef>
          </c:val>
        </c:ser>
        <c:gapWidth val="60"/>
        <c:overlap val="0"/>
        <c:axId val="73359216"/>
        <c:axId val="50351269"/>
      </c:barChart>
      <c:catAx>
        <c:axId val="73359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51269"/>
        <c:crosses val="autoZero"/>
        <c:auto val="1"/>
        <c:lblAlgn val="ctr"/>
        <c:lblOffset val="100"/>
        <c:noMultiLvlLbl val="0"/>
      </c:catAx>
      <c:valAx>
        <c:axId val="503512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592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5</xdr:col>
      <xdr:colOff>864360</xdr:colOff>
      <xdr:row>24</xdr:row>
      <xdr:rowOff>21600</xdr:rowOff>
    </xdr:to>
    <xdr:graphicFrame>
      <xdr:nvGraphicFramePr>
        <xdr:cNvPr id="0" name="Chart 1"/>
        <xdr:cNvGraphicFramePr/>
      </xdr:nvGraphicFramePr>
      <xdr:xfrm>
        <a:off x="211320" y="2266920"/>
        <a:ext cx="59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0</xdr:rowOff>
    </xdr:from>
    <xdr:to>
      <xdr:col>11</xdr:col>
      <xdr:colOff>41400</xdr:colOff>
      <xdr:row>24</xdr:row>
      <xdr:rowOff>21600</xdr:rowOff>
    </xdr:to>
    <xdr:graphicFrame>
      <xdr:nvGraphicFramePr>
        <xdr:cNvPr id="1" name="Chart 2"/>
        <xdr:cNvGraphicFramePr/>
      </xdr:nvGraphicFramePr>
      <xdr:xfrm>
        <a:off x="5286240" y="2266920"/>
        <a:ext cx="59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5</xdr:col>
      <xdr:colOff>864360</xdr:colOff>
      <xdr:row>42</xdr:row>
      <xdr:rowOff>21960</xdr:rowOff>
    </xdr:to>
    <xdr:graphicFrame>
      <xdr:nvGraphicFramePr>
        <xdr:cNvPr id="2" name="Chart 3"/>
        <xdr:cNvGraphicFramePr/>
      </xdr:nvGraphicFramePr>
      <xdr:xfrm>
        <a:off x="211320" y="5753160"/>
        <a:ext cx="59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27</xdr:row>
      <xdr:rowOff>0</xdr:rowOff>
    </xdr:from>
    <xdr:to>
      <xdr:col>11</xdr:col>
      <xdr:colOff>41400</xdr:colOff>
      <xdr:row>42</xdr:row>
      <xdr:rowOff>21960</xdr:rowOff>
    </xdr:to>
    <xdr:graphicFrame>
      <xdr:nvGraphicFramePr>
        <xdr:cNvPr id="3" name="Chart 4"/>
        <xdr:cNvGraphicFramePr/>
      </xdr:nvGraphicFramePr>
      <xdr:xfrm>
        <a:off x="5286240" y="5753160"/>
        <a:ext cx="59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5</xdr:col>
      <xdr:colOff>864360</xdr:colOff>
      <xdr:row>59</xdr:row>
      <xdr:rowOff>21600</xdr:rowOff>
    </xdr:to>
    <xdr:graphicFrame>
      <xdr:nvGraphicFramePr>
        <xdr:cNvPr id="4" name="Chart 5"/>
        <xdr:cNvGraphicFramePr/>
      </xdr:nvGraphicFramePr>
      <xdr:xfrm>
        <a:off x="211320" y="9048600"/>
        <a:ext cx="59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44</xdr:row>
      <xdr:rowOff>0</xdr:rowOff>
    </xdr:from>
    <xdr:to>
      <xdr:col>11</xdr:col>
      <xdr:colOff>41400</xdr:colOff>
      <xdr:row>59</xdr:row>
      <xdr:rowOff>21600</xdr:rowOff>
    </xdr:to>
    <xdr:graphicFrame>
      <xdr:nvGraphicFramePr>
        <xdr:cNvPr id="5" name="Chart 6"/>
        <xdr:cNvGraphicFramePr/>
      </xdr:nvGraphicFramePr>
      <xdr:xfrm>
        <a:off x="5286240" y="9048600"/>
        <a:ext cx="59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9" min="2" style="1" width="18"/>
    <col collapsed="false" customWidth="true" hidden="false" outlineLevel="0" max="10" min="10" style="1" width="3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B5" s="4" t="s">
        <v>2</v>
      </c>
      <c r="C5" s="4"/>
      <c r="D5" s="4" t="s">
        <v>3</v>
      </c>
      <c r="E5" s="4"/>
      <c r="F5" s="4" t="s">
        <v>4</v>
      </c>
      <c r="G5" s="4"/>
      <c r="H5" s="4" t="s">
        <v>5</v>
      </c>
      <c r="I5" s="4"/>
    </row>
    <row r="6" customFormat="false" ht="30" hidden="false" customHeight="true" outlineLevel="0" collapsed="false">
      <c r="B6" s="5" t="n">
        <f aca="false">SUM(Data!C4:C16)</f>
        <v>19259977907.31</v>
      </c>
      <c r="C6" s="5"/>
      <c r="D6" s="6" t="n">
        <v>2020</v>
      </c>
      <c r="E6" s="6"/>
      <c r="F6" s="7" t="n">
        <v>-0.62</v>
      </c>
      <c r="G6" s="7"/>
      <c r="H6" s="6" t="s">
        <v>6</v>
      </c>
      <c r="I6" s="6"/>
    </row>
    <row r="7" customFormat="false" ht="25.5" hidden="false" customHeight="true" outlineLevel="0" collapsed="false">
      <c r="B7" s="8" t="s">
        <v>7</v>
      </c>
      <c r="C7" s="8"/>
      <c r="D7" s="8" t="s">
        <v>8</v>
      </c>
      <c r="E7" s="8"/>
      <c r="F7" s="8" t="s">
        <v>9</v>
      </c>
      <c r="G7" s="8"/>
      <c r="H7" s="8" t="s">
        <v>10</v>
      </c>
      <c r="I7" s="8"/>
    </row>
    <row r="9" customFormat="false" ht="19.5" hidden="false" customHeight="true" outlineLevel="0" collapsed="false">
      <c r="B9" s="9" t="s">
        <v>11</v>
      </c>
      <c r="C9" s="9"/>
      <c r="D9" s="9"/>
      <c r="E9" s="9"/>
      <c r="F9" s="9" t="s">
        <v>12</v>
      </c>
      <c r="G9" s="9"/>
      <c r="H9" s="9"/>
      <c r="I9" s="9"/>
    </row>
    <row r="27" customFormat="false" ht="19.5" hidden="false" customHeight="true" outlineLevel="0" collapsed="false">
      <c r="B27" s="9" t="s">
        <v>13</v>
      </c>
      <c r="C27" s="9"/>
      <c r="D27" s="9"/>
      <c r="E27" s="9"/>
      <c r="F27" s="9" t="s">
        <v>14</v>
      </c>
      <c r="G27" s="9"/>
      <c r="H27" s="9"/>
      <c r="I27" s="9"/>
    </row>
    <row r="44" customFormat="false" ht="19.5" hidden="false" customHeight="true" outlineLevel="0" collapsed="false">
      <c r="B44" s="9" t="s">
        <v>15</v>
      </c>
      <c r="C44" s="9"/>
      <c r="D44" s="9"/>
      <c r="E44" s="9"/>
      <c r="F44" s="9" t="s">
        <v>16</v>
      </c>
      <c r="G44" s="9"/>
      <c r="H44" s="9"/>
      <c r="I44" s="9"/>
    </row>
    <row r="61" customFormat="false" ht="19.5" hidden="false" customHeight="true" outlineLevel="0" collapsed="false">
      <c r="B61" s="9" t="s">
        <v>17</v>
      </c>
      <c r="C61" s="9"/>
      <c r="D61" s="9"/>
      <c r="E61" s="9"/>
      <c r="F61" s="9"/>
      <c r="G61" s="9"/>
      <c r="H61" s="9"/>
      <c r="I61" s="9"/>
      <c r="J61" s="9"/>
    </row>
    <row r="62" customFormat="false" ht="15" hidden="false" customHeight="true" outlineLevel="0" collapsed="false">
      <c r="B62" s="10" t="s">
        <v>18</v>
      </c>
      <c r="C62" s="10"/>
      <c r="D62" s="10"/>
      <c r="E62" s="10"/>
      <c r="F62" s="10"/>
      <c r="G62" s="10"/>
      <c r="H62" s="10"/>
      <c r="I62" s="10"/>
      <c r="J62" s="10"/>
    </row>
    <row r="63" customFormat="false" ht="15" hidden="false" customHeight="true" outlineLevel="0" collapsed="false">
      <c r="B63" s="10"/>
      <c r="C63" s="10"/>
      <c r="D63" s="10"/>
      <c r="E63" s="10"/>
      <c r="F63" s="10"/>
      <c r="G63" s="10"/>
      <c r="H63" s="10"/>
      <c r="I63" s="10"/>
      <c r="J63" s="10"/>
    </row>
    <row r="64" customFormat="false" ht="15" hidden="false" customHeight="true" outlineLevel="0" collapsed="false">
      <c r="B64" s="10"/>
      <c r="C64" s="10"/>
      <c r="D64" s="10"/>
      <c r="E64" s="10"/>
      <c r="F64" s="10"/>
      <c r="G64" s="10"/>
      <c r="H64" s="10"/>
      <c r="I64" s="10"/>
      <c r="J64" s="10"/>
    </row>
    <row r="65" customFormat="false" ht="15" hidden="false" customHeight="true" outlineLevel="0" collapsed="false">
      <c r="B65" s="10"/>
      <c r="C65" s="10"/>
      <c r="D65" s="10"/>
      <c r="E65" s="10"/>
      <c r="F65" s="10"/>
      <c r="G65" s="10"/>
      <c r="H65" s="10"/>
      <c r="I65" s="10"/>
      <c r="J65" s="10"/>
    </row>
    <row r="66" customFormat="false" ht="15" hidden="false" customHeight="true" outlineLevel="0" collapsed="false">
      <c r="B66" s="10"/>
      <c r="C66" s="10"/>
      <c r="D66" s="10"/>
      <c r="E66" s="10"/>
      <c r="F66" s="10"/>
      <c r="G66" s="10"/>
      <c r="H66" s="10"/>
      <c r="I66" s="10"/>
      <c r="J66" s="10"/>
    </row>
    <row r="67" customFormat="false" ht="15" hidden="false" customHeight="true" outlineLevel="0" collapsed="false">
      <c r="B67" s="10"/>
      <c r="C67" s="10"/>
      <c r="D67" s="10"/>
      <c r="E67" s="10"/>
      <c r="F67" s="10"/>
      <c r="G67" s="10"/>
      <c r="H67" s="10"/>
      <c r="I67" s="10"/>
      <c r="J67" s="10"/>
    </row>
    <row r="68" customFormat="false" ht="15" hidden="false" customHeight="true" outlineLevel="0" collapsed="false">
      <c r="B68" s="10"/>
      <c r="C68" s="10"/>
      <c r="D68" s="10"/>
      <c r="E68" s="10"/>
      <c r="F68" s="10"/>
      <c r="G68" s="10"/>
      <c r="H68" s="10"/>
      <c r="I68" s="10"/>
      <c r="J68" s="10"/>
    </row>
    <row r="69" customFormat="false" ht="15" hidden="false" customHeight="true" outlineLevel="0" collapsed="false">
      <c r="B69" s="10"/>
      <c r="C69" s="10"/>
      <c r="D69" s="10"/>
      <c r="E69" s="10"/>
      <c r="F69" s="10"/>
      <c r="G69" s="10"/>
      <c r="H69" s="10"/>
      <c r="I69" s="10"/>
      <c r="J69" s="10"/>
    </row>
    <row r="70" customFormat="false" ht="15" hidden="false" customHeight="true" outlineLevel="0" collapsed="false">
      <c r="B70" s="10"/>
      <c r="C70" s="10"/>
      <c r="D70" s="10"/>
      <c r="E70" s="10"/>
      <c r="F70" s="10"/>
      <c r="G70" s="10"/>
      <c r="H70" s="10"/>
      <c r="I70" s="10"/>
      <c r="J70" s="10"/>
    </row>
    <row r="71" customFormat="false" ht="15" hidden="false" customHeight="true" outlineLevel="0" collapsed="false">
      <c r="B71" s="10"/>
      <c r="C71" s="10"/>
      <c r="D71" s="10"/>
      <c r="E71" s="10"/>
      <c r="F71" s="10"/>
      <c r="G71" s="10"/>
      <c r="H71" s="10"/>
      <c r="I71" s="10"/>
      <c r="J71" s="10"/>
    </row>
    <row r="72" customFormat="false" ht="15" hidden="false" customHeight="true" outlineLevel="0" collapsed="false">
      <c r="B72" s="10"/>
      <c r="C72" s="10"/>
      <c r="D72" s="10"/>
      <c r="E72" s="10"/>
      <c r="F72" s="10"/>
      <c r="G72" s="10"/>
      <c r="H72" s="10"/>
      <c r="I72" s="10"/>
      <c r="J72" s="10"/>
    </row>
    <row r="73" customFormat="false" ht="15" hidden="false" customHeight="true" outlineLevel="0" collapsed="false">
      <c r="B73" s="10"/>
      <c r="C73" s="10"/>
      <c r="D73" s="10"/>
      <c r="E73" s="10"/>
      <c r="F73" s="10"/>
      <c r="G73" s="10"/>
      <c r="H73" s="10"/>
      <c r="I73" s="10"/>
      <c r="J73" s="10"/>
    </row>
    <row r="74" customFormat="false" ht="15" hidden="false" customHeight="true" outlineLevel="0" collapsed="false">
      <c r="B74" s="10"/>
      <c r="C74" s="10"/>
      <c r="D74" s="10"/>
      <c r="E74" s="10"/>
      <c r="F74" s="10"/>
      <c r="G74" s="10"/>
      <c r="H74" s="10"/>
      <c r="I74" s="10"/>
      <c r="J74" s="10"/>
    </row>
    <row r="75" customFormat="false" ht="15" hidden="false" customHeight="true" outlineLevel="0" collapsed="false">
      <c r="B75" s="10"/>
      <c r="C75" s="10"/>
      <c r="D75" s="10"/>
      <c r="E75" s="10"/>
      <c r="F75" s="10"/>
      <c r="G75" s="10"/>
      <c r="H75" s="10"/>
      <c r="I75" s="10"/>
      <c r="J75" s="10"/>
    </row>
    <row r="76" customFormat="false" ht="15" hidden="false" customHeight="true" outlineLevel="0" collapsed="false">
      <c r="B76" s="10"/>
      <c r="C76" s="10"/>
      <c r="D76" s="10"/>
      <c r="E76" s="10"/>
      <c r="F76" s="10"/>
      <c r="G76" s="10"/>
      <c r="H76" s="10"/>
      <c r="I76" s="10"/>
      <c r="J76" s="10"/>
    </row>
    <row r="77" customFormat="false" ht="15" hidden="false" customHeight="true" outlineLevel="0" collapsed="false">
      <c r="B77" s="10"/>
      <c r="C77" s="10"/>
      <c r="D77" s="10"/>
      <c r="E77" s="10"/>
      <c r="F77" s="10"/>
      <c r="G77" s="10"/>
      <c r="H77" s="10"/>
      <c r="I77" s="10"/>
      <c r="J77" s="10"/>
    </row>
    <row r="78" customFormat="false" ht="15" hidden="false" customHeight="true" outlineLevel="0" collapsed="false">
      <c r="B78" s="10"/>
      <c r="C78" s="10"/>
      <c r="D78" s="10"/>
      <c r="E78" s="10"/>
      <c r="F78" s="10"/>
      <c r="G78" s="10"/>
      <c r="H78" s="10"/>
      <c r="I78" s="10"/>
      <c r="J78" s="10"/>
    </row>
  </sheetData>
  <mergeCells count="22">
    <mergeCell ref="A1:J2"/>
    <mergeCell ref="A3:J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9:E9"/>
    <mergeCell ref="F9:I9"/>
    <mergeCell ref="B27:E27"/>
    <mergeCell ref="F27:I27"/>
    <mergeCell ref="B44:E44"/>
    <mergeCell ref="F44:I44"/>
    <mergeCell ref="B61:J61"/>
    <mergeCell ref="B62:J78"/>
  </mergeCells>
  <printOptions headings="false" gridLines="false" gridLinesSet="true" horizontalCentered="false" verticalCentered="false"/>
  <pageMargins left="0.3" right="0.3" top="0.3" bottom="0.3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&amp;K808080Licensed under the Apache License, Version 2.0  |  AMRChallenge: 00013425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5" min="4" style="1" width="16"/>
  </cols>
  <sheetData>
    <row r="2" customFormat="false" ht="15" hidden="false" customHeight="true" outlineLevel="0" collapsed="false">
      <c r="A2" s="11" t="s">
        <v>19</v>
      </c>
    </row>
    <row r="3" customFormat="false" ht="15" hidden="false" customHeight="true" outlineLevel="0" collapsed="false">
      <c r="A3" s="12" t="s">
        <v>20</v>
      </c>
      <c r="B3" s="12" t="s">
        <v>21</v>
      </c>
      <c r="C3" s="12" t="s">
        <v>22</v>
      </c>
    </row>
    <row r="4" customFormat="false" ht="15" hidden="false" customHeight="true" outlineLevel="0" collapsed="false">
      <c r="A4" s="13" t="n">
        <v>2013</v>
      </c>
      <c r="B4" s="14" t="n">
        <v>412</v>
      </c>
      <c r="C4" s="15" t="n">
        <v>414680584.49</v>
      </c>
    </row>
    <row r="5" customFormat="false" ht="15" hidden="false" customHeight="true" outlineLevel="0" collapsed="false">
      <c r="A5" s="13" t="n">
        <v>2014</v>
      </c>
      <c r="B5" s="14" t="n">
        <v>927</v>
      </c>
      <c r="C5" s="15" t="n">
        <v>473905241.87</v>
      </c>
    </row>
    <row r="6" customFormat="false" ht="15" hidden="false" customHeight="true" outlineLevel="0" collapsed="false">
      <c r="A6" s="13" t="n">
        <v>2015</v>
      </c>
      <c r="B6" s="14" t="n">
        <v>1587</v>
      </c>
      <c r="C6" s="15" t="n">
        <v>994929075.11</v>
      </c>
    </row>
    <row r="7" customFormat="false" ht="15" hidden="false" customHeight="true" outlineLevel="0" collapsed="false">
      <c r="A7" s="13" t="n">
        <v>2016</v>
      </c>
      <c r="B7" s="14" t="n">
        <v>2173</v>
      </c>
      <c r="C7" s="15" t="n">
        <v>1501766816.66</v>
      </c>
    </row>
    <row r="8" customFormat="false" ht="15" hidden="false" customHeight="true" outlineLevel="0" collapsed="false">
      <c r="A8" s="13" t="n">
        <v>2017</v>
      </c>
      <c r="B8" s="14" t="n">
        <v>2238</v>
      </c>
      <c r="C8" s="15" t="n">
        <v>1936191996.19</v>
      </c>
    </row>
    <row r="9" customFormat="false" ht="15" hidden="false" customHeight="true" outlineLevel="0" collapsed="false">
      <c r="A9" s="13" t="n">
        <v>2018</v>
      </c>
      <c r="B9" s="14" t="n">
        <v>2278</v>
      </c>
      <c r="C9" s="15" t="n">
        <v>1836741752.61</v>
      </c>
    </row>
    <row r="10" customFormat="false" ht="15" hidden="false" customHeight="true" outlineLevel="0" collapsed="false">
      <c r="A10" s="13" t="n">
        <v>2019</v>
      </c>
      <c r="B10" s="14" t="n">
        <v>2067</v>
      </c>
      <c r="C10" s="15" t="n">
        <v>1992098149.47</v>
      </c>
    </row>
    <row r="11" customFormat="false" ht="15" hidden="false" customHeight="true" outlineLevel="0" collapsed="false">
      <c r="A11" s="13" t="n">
        <v>2020</v>
      </c>
      <c r="B11" s="14" t="n">
        <v>1908</v>
      </c>
      <c r="C11" s="15" t="n">
        <v>2380084868.59</v>
      </c>
    </row>
    <row r="12" customFormat="false" ht="15" hidden="false" customHeight="true" outlineLevel="0" collapsed="false">
      <c r="A12" s="13" t="n">
        <v>2021</v>
      </c>
      <c r="B12" s="14" t="n">
        <v>1676</v>
      </c>
      <c r="C12" s="15" t="n">
        <v>2047241102.66</v>
      </c>
    </row>
    <row r="13" customFormat="false" ht="15" hidden="false" customHeight="true" outlineLevel="0" collapsed="false">
      <c r="A13" s="13" t="n">
        <v>2022</v>
      </c>
      <c r="B13" s="14" t="n">
        <v>1591</v>
      </c>
      <c r="C13" s="15" t="n">
        <v>1451451204.08</v>
      </c>
    </row>
    <row r="14" customFormat="false" ht="15" hidden="false" customHeight="true" outlineLevel="0" collapsed="false">
      <c r="A14" s="13" t="n">
        <v>2023</v>
      </c>
      <c r="B14" s="14" t="n">
        <v>1488</v>
      </c>
      <c r="C14" s="15" t="n">
        <v>1781526163.76</v>
      </c>
    </row>
    <row r="15" customFormat="false" ht="15" hidden="false" customHeight="true" outlineLevel="0" collapsed="false">
      <c r="A15" s="13" t="n">
        <v>2024</v>
      </c>
      <c r="B15" s="14" t="n">
        <v>1130</v>
      </c>
      <c r="C15" s="15" t="n">
        <v>1547693685.16</v>
      </c>
    </row>
    <row r="16" customFormat="false" ht="15" hidden="false" customHeight="true" outlineLevel="0" collapsed="false">
      <c r="A16" s="16" t="s">
        <v>23</v>
      </c>
      <c r="B16" s="14" t="n">
        <v>618</v>
      </c>
      <c r="C16" s="15" t="n">
        <v>901667266.66</v>
      </c>
    </row>
    <row r="17" customFormat="false" ht="15" hidden="false" customHeight="true" outlineLevel="0" collapsed="false">
      <c r="A17" s="12" t="s">
        <v>24</v>
      </c>
      <c r="B17" s="12" t="s">
        <v>21</v>
      </c>
      <c r="C17" s="12" t="s">
        <v>22</v>
      </c>
    </row>
    <row r="18" customFormat="false" ht="15" hidden="false" customHeight="true" outlineLevel="0" collapsed="false">
      <c r="A18" s="13" t="s">
        <v>25</v>
      </c>
      <c r="B18" s="14" t="n">
        <v>6202</v>
      </c>
      <c r="C18" s="15" t="n">
        <v>10388368964.08</v>
      </c>
    </row>
    <row r="19" customFormat="false" ht="15" hidden="false" customHeight="true" outlineLevel="0" collapsed="false">
      <c r="A19" s="13" t="s">
        <v>26</v>
      </c>
      <c r="B19" s="14" t="n">
        <v>1043</v>
      </c>
      <c r="C19" s="15" t="n">
        <v>2906263842.77</v>
      </c>
    </row>
    <row r="20" customFormat="false" ht="15" hidden="false" customHeight="true" outlineLevel="0" collapsed="false">
      <c r="A20" s="13" t="s">
        <v>27</v>
      </c>
      <c r="B20" s="14" t="n">
        <v>2826</v>
      </c>
      <c r="C20" s="15" t="n">
        <v>2895619164.14</v>
      </c>
    </row>
    <row r="21" customFormat="false" ht="15" hidden="false" customHeight="true" outlineLevel="0" collapsed="false">
      <c r="A21" s="13" t="s">
        <v>28</v>
      </c>
      <c r="B21" s="14" t="n">
        <v>145</v>
      </c>
      <c r="C21" s="15" t="n">
        <v>766674145.67</v>
      </c>
    </row>
    <row r="22" customFormat="false" ht="15" hidden="false" customHeight="true" outlineLevel="0" collapsed="false">
      <c r="A22" s="13" t="s">
        <v>29</v>
      </c>
      <c r="B22" s="14" t="n">
        <v>658</v>
      </c>
      <c r="C22" s="15" t="n">
        <v>440515154.58</v>
      </c>
    </row>
    <row r="23" customFormat="false" ht="15" hidden="false" customHeight="true" outlineLevel="0" collapsed="false">
      <c r="A23" s="13" t="s">
        <v>30</v>
      </c>
      <c r="B23" s="14" t="n">
        <v>809</v>
      </c>
      <c r="C23" s="15" t="n">
        <v>434803721.76</v>
      </c>
    </row>
    <row r="24" customFormat="false" ht="15" hidden="false" customHeight="true" outlineLevel="0" collapsed="false">
      <c r="A24" s="13" t="s">
        <v>31</v>
      </c>
      <c r="B24" s="14" t="n">
        <v>171</v>
      </c>
      <c r="C24" s="15" t="n">
        <v>339330015.32</v>
      </c>
    </row>
    <row r="25" customFormat="false" ht="15" hidden="false" customHeight="true" outlineLevel="0" collapsed="false">
      <c r="A25" s="13" t="s">
        <v>32</v>
      </c>
      <c r="B25" s="14" t="n">
        <v>529</v>
      </c>
      <c r="C25" s="15" t="n">
        <v>292301749.16</v>
      </c>
    </row>
    <row r="26" customFormat="false" ht="15" hidden="false" customHeight="true" outlineLevel="0" collapsed="false">
      <c r="A26" s="13" t="s">
        <v>33</v>
      </c>
      <c r="B26" s="14" t="n">
        <v>625</v>
      </c>
      <c r="C26" s="15" t="n">
        <v>255117712.59</v>
      </c>
    </row>
    <row r="27" customFormat="false" ht="15" hidden="false" customHeight="true" outlineLevel="0" collapsed="false">
      <c r="A27" s="16" t="s">
        <v>34</v>
      </c>
      <c r="B27" s="14" t="n">
        <v>1198</v>
      </c>
      <c r="C27" s="15" t="n">
        <v>241270634.86</v>
      </c>
    </row>
    <row r="28" customFormat="false" ht="15" hidden="false" customHeight="true" outlineLevel="0" collapsed="false">
      <c r="A28" s="12" t="s">
        <v>20</v>
      </c>
      <c r="B28" s="12" t="s">
        <v>35</v>
      </c>
      <c r="C28" s="12" t="s">
        <v>36</v>
      </c>
      <c r="D28" s="12" t="s">
        <v>37</v>
      </c>
      <c r="E28" s="12" t="s">
        <v>38</v>
      </c>
    </row>
    <row r="29" customFormat="false" ht="15" hidden="false" customHeight="true" outlineLevel="0" collapsed="false">
      <c r="A29" s="13" t="n">
        <v>2013</v>
      </c>
      <c r="B29" s="15" t="n">
        <v>4721452.12</v>
      </c>
      <c r="C29" s="15" t="n">
        <v>387628197.67</v>
      </c>
      <c r="D29" s="15" t="n">
        <v>13100632.31</v>
      </c>
      <c r="E29" s="15" t="n">
        <v>9230302.39</v>
      </c>
    </row>
    <row r="30" customFormat="false" ht="15" hidden="false" customHeight="true" outlineLevel="0" collapsed="false">
      <c r="A30" s="13" t="n">
        <v>2014</v>
      </c>
      <c r="B30" s="15" t="n">
        <v>14614064.05</v>
      </c>
      <c r="C30" s="15" t="n">
        <v>432012186.73</v>
      </c>
      <c r="D30" s="15" t="n">
        <v>20318632.07</v>
      </c>
      <c r="E30" s="15" t="n">
        <v>6960359.02</v>
      </c>
    </row>
    <row r="31" customFormat="false" ht="15" hidden="false" customHeight="true" outlineLevel="0" collapsed="false">
      <c r="A31" s="13" t="n">
        <v>2015</v>
      </c>
      <c r="B31" s="15" t="n">
        <v>78437005.33</v>
      </c>
      <c r="C31" s="15" t="n">
        <v>843628440.01</v>
      </c>
      <c r="D31" s="15" t="n">
        <v>49516436</v>
      </c>
      <c r="E31" s="15" t="n">
        <v>23347193.77</v>
      </c>
    </row>
    <row r="32" customFormat="false" ht="15" hidden="false" customHeight="true" outlineLevel="0" collapsed="false">
      <c r="A32" s="13" t="n">
        <v>2016</v>
      </c>
      <c r="B32" s="15" t="n">
        <v>149741242.23</v>
      </c>
      <c r="C32" s="15" t="n">
        <v>1216385124.67</v>
      </c>
      <c r="D32" s="15" t="n">
        <v>107730817.87</v>
      </c>
      <c r="E32" s="15" t="n">
        <v>27909631.89</v>
      </c>
    </row>
    <row r="33" customFormat="false" ht="15" hidden="false" customHeight="true" outlineLevel="0" collapsed="false">
      <c r="A33" s="13" t="n">
        <v>2017</v>
      </c>
      <c r="B33" s="15" t="n">
        <v>112144900.1</v>
      </c>
      <c r="C33" s="15" t="n">
        <v>1698465724.09</v>
      </c>
      <c r="D33" s="15" t="n">
        <v>102691085.33</v>
      </c>
      <c r="E33" s="15" t="n">
        <v>22890286.67</v>
      </c>
    </row>
    <row r="34" customFormat="false" ht="15" hidden="false" customHeight="true" outlineLevel="0" collapsed="false">
      <c r="A34" s="13" t="n">
        <v>2018</v>
      </c>
      <c r="B34" s="15" t="n">
        <v>100950823.88</v>
      </c>
      <c r="C34" s="15" t="n">
        <v>1516241350.17</v>
      </c>
      <c r="D34" s="15" t="n">
        <v>188456324.93</v>
      </c>
      <c r="E34" s="15" t="n">
        <v>31093253.63</v>
      </c>
    </row>
    <row r="35" customFormat="false" ht="15" hidden="false" customHeight="true" outlineLevel="0" collapsed="false">
      <c r="A35" s="13" t="n">
        <v>2019</v>
      </c>
      <c r="B35" s="15" t="n">
        <v>139894876.62</v>
      </c>
      <c r="C35" s="15" t="n">
        <v>1662533759.23</v>
      </c>
      <c r="D35" s="15" t="n">
        <v>153906652.65</v>
      </c>
      <c r="E35" s="15" t="n">
        <v>35762860.97</v>
      </c>
    </row>
    <row r="36" customFormat="false" ht="15" hidden="false" customHeight="true" outlineLevel="0" collapsed="false">
      <c r="A36" s="13" t="n">
        <v>2020</v>
      </c>
      <c r="B36" s="15" t="n">
        <v>64490439.34</v>
      </c>
      <c r="C36" s="15" t="n">
        <v>2056420175.35</v>
      </c>
      <c r="D36" s="15" t="n">
        <v>227360591.71</v>
      </c>
      <c r="E36" s="15" t="n">
        <v>31813662.19</v>
      </c>
    </row>
    <row r="37" customFormat="false" ht="15" hidden="false" customHeight="true" outlineLevel="0" collapsed="false">
      <c r="A37" s="13" t="n">
        <v>2021</v>
      </c>
      <c r="B37" s="15" t="n">
        <v>56971208.62</v>
      </c>
      <c r="C37" s="15" t="n">
        <v>1782890532.97</v>
      </c>
      <c r="D37" s="15" t="n">
        <v>142344548.98</v>
      </c>
      <c r="E37" s="15" t="n">
        <v>65034812.09</v>
      </c>
    </row>
    <row r="38" customFormat="false" ht="15" hidden="false" customHeight="true" outlineLevel="0" collapsed="false">
      <c r="A38" s="13" t="n">
        <v>2022</v>
      </c>
      <c r="B38" s="15" t="n">
        <v>70532240.54</v>
      </c>
      <c r="C38" s="15" t="n">
        <v>1107366010.37</v>
      </c>
      <c r="D38" s="15" t="n">
        <v>205360621.01</v>
      </c>
      <c r="E38" s="15" t="n">
        <v>68192332.16</v>
      </c>
    </row>
    <row r="39" customFormat="false" ht="15" hidden="false" customHeight="true" outlineLevel="0" collapsed="false">
      <c r="A39" s="13" t="n">
        <v>2023</v>
      </c>
      <c r="B39" s="15" t="n">
        <v>66788031.91</v>
      </c>
      <c r="C39" s="15" t="n">
        <v>1514409862.1</v>
      </c>
      <c r="D39" s="15" t="n">
        <v>146378127.77</v>
      </c>
      <c r="E39" s="15" t="n">
        <v>53950141.98</v>
      </c>
    </row>
    <row r="40" customFormat="false" ht="15" hidden="false" customHeight="true" outlineLevel="0" collapsed="false">
      <c r="A40" s="13" t="n">
        <v>2024</v>
      </c>
      <c r="B40" s="15" t="n">
        <v>80088117.66</v>
      </c>
      <c r="C40" s="15" t="n">
        <v>1223790127.65</v>
      </c>
      <c r="D40" s="15" t="n">
        <v>222207782.87</v>
      </c>
      <c r="E40" s="15" t="n">
        <v>21607656.98</v>
      </c>
    </row>
    <row r="41" customFormat="false" ht="15" hidden="false" customHeight="true" outlineLevel="0" collapsed="false">
      <c r="A41" s="16" t="s">
        <v>39</v>
      </c>
      <c r="B41" s="15" t="n">
        <v>12711057.4</v>
      </c>
      <c r="C41" s="15" t="n">
        <v>691410055.7</v>
      </c>
      <c r="D41" s="15" t="n">
        <v>188367352.91</v>
      </c>
      <c r="E41" s="15" t="n">
        <v>9178800.65</v>
      </c>
    </row>
    <row r="42" customFormat="false" ht="15" hidden="false" customHeight="true" outlineLevel="0" collapsed="false">
      <c r="A42" s="12" t="s">
        <v>40</v>
      </c>
      <c r="B42" s="12" t="s">
        <v>21</v>
      </c>
      <c r="C42" s="12" t="s">
        <v>22</v>
      </c>
    </row>
    <row r="43" customFormat="false" ht="15" hidden="false" customHeight="true" outlineLevel="0" collapsed="false">
      <c r="A43" s="13" t="s">
        <v>41</v>
      </c>
      <c r="B43" s="14" t="n">
        <v>276</v>
      </c>
      <c r="C43" s="15" t="n">
        <v>662761175.48</v>
      </c>
    </row>
    <row r="44" customFormat="false" ht="15" hidden="false" customHeight="true" outlineLevel="0" collapsed="false">
      <c r="A44" s="13" t="s">
        <v>42</v>
      </c>
      <c r="B44" s="14" t="n">
        <v>29</v>
      </c>
      <c r="C44" s="15" t="n">
        <v>113201301.8</v>
      </c>
    </row>
    <row r="45" customFormat="false" ht="15" hidden="false" customHeight="true" outlineLevel="0" collapsed="false">
      <c r="A45" s="13" t="s">
        <v>43</v>
      </c>
      <c r="B45" s="14" t="n">
        <v>66</v>
      </c>
      <c r="C45" s="15" t="n">
        <v>96087478.57</v>
      </c>
    </row>
    <row r="46" customFormat="false" ht="15" hidden="false" customHeight="true" outlineLevel="0" collapsed="false">
      <c r="A46" s="13" t="s">
        <v>44</v>
      </c>
      <c r="B46" s="14" t="n">
        <v>32</v>
      </c>
      <c r="C46" s="15" t="n">
        <v>79558826.9</v>
      </c>
    </row>
    <row r="47" customFormat="false" ht="15" hidden="false" customHeight="true" outlineLevel="0" collapsed="false">
      <c r="A47" s="13" t="s">
        <v>45</v>
      </c>
      <c r="B47" s="14" t="n">
        <v>48</v>
      </c>
      <c r="C47" s="15" t="n">
        <v>69107408.9</v>
      </c>
    </row>
    <row r="48" customFormat="false" ht="15" hidden="false" customHeight="true" outlineLevel="0" collapsed="false">
      <c r="A48" s="13" t="s">
        <v>46</v>
      </c>
      <c r="B48" s="14" t="n">
        <v>41</v>
      </c>
      <c r="C48" s="15" t="n">
        <v>45123571.66</v>
      </c>
    </row>
    <row r="49" customFormat="false" ht="15" hidden="false" customHeight="true" outlineLevel="0" collapsed="false">
      <c r="A49" s="13" t="s">
        <v>47</v>
      </c>
      <c r="B49" s="14" t="n">
        <v>27</v>
      </c>
      <c r="C49" s="15" t="n">
        <v>41854052.41</v>
      </c>
    </row>
    <row r="50" customFormat="false" ht="15" hidden="false" customHeight="true" outlineLevel="0" collapsed="false">
      <c r="A50" s="16" t="s">
        <v>48</v>
      </c>
      <c r="B50" s="14" t="n">
        <v>16</v>
      </c>
      <c r="C50" s="15" t="n">
        <v>29668555.91</v>
      </c>
    </row>
    <row r="51" customFormat="false" ht="15" hidden="false" customHeight="true" outlineLevel="0" collapsed="false">
      <c r="A51" s="12" t="s">
        <v>49</v>
      </c>
      <c r="B51" s="12" t="s">
        <v>50</v>
      </c>
      <c r="C51" s="12" t="s">
        <v>51</v>
      </c>
      <c r="D51" s="12" t="s">
        <v>52</v>
      </c>
    </row>
    <row r="52" customFormat="false" ht="15" hidden="false" customHeight="true" outlineLevel="0" collapsed="false">
      <c r="A52" s="13" t="s">
        <v>6</v>
      </c>
      <c r="B52" s="17" t="n">
        <v>1</v>
      </c>
      <c r="C52" s="15" t="n">
        <v>313851533.61</v>
      </c>
      <c r="D52" s="14" t="n">
        <v>398</v>
      </c>
    </row>
    <row r="53" customFormat="false" ht="15" hidden="false" customHeight="true" outlineLevel="0" collapsed="false">
      <c r="A53" s="13" t="s">
        <v>53</v>
      </c>
      <c r="B53" s="17" t="n">
        <v>1</v>
      </c>
      <c r="C53" s="15" t="n">
        <v>925859751.63</v>
      </c>
      <c r="D53" s="14" t="n">
        <v>925</v>
      </c>
    </row>
    <row r="54" customFormat="false" ht="15" hidden="false" customHeight="true" outlineLevel="0" collapsed="false">
      <c r="A54" s="13" t="s">
        <v>54</v>
      </c>
      <c r="B54" s="17" t="n">
        <v>0.806</v>
      </c>
      <c r="C54" s="15" t="n">
        <v>2565419998.31</v>
      </c>
      <c r="D54" s="14" t="n">
        <v>2806</v>
      </c>
    </row>
    <row r="55" customFormat="false" ht="15" hidden="false" customHeight="true" outlineLevel="0" collapsed="false">
      <c r="A55" s="13" t="s">
        <v>55</v>
      </c>
      <c r="B55" s="17" t="n">
        <v>0.786</v>
      </c>
      <c r="C55" s="15" t="n">
        <v>1472332823.65</v>
      </c>
      <c r="D55" s="14" t="n">
        <v>1763</v>
      </c>
    </row>
    <row r="56" customFormat="false" ht="15" hidden="false" customHeight="true" outlineLevel="0" collapsed="false">
      <c r="A56" s="13" t="s">
        <v>56</v>
      </c>
      <c r="B56" s="17" t="n">
        <v>0.737</v>
      </c>
      <c r="C56" s="15" t="n">
        <v>638777189.02</v>
      </c>
      <c r="D56" s="14" t="n">
        <v>513</v>
      </c>
    </row>
    <row r="57" customFormat="false" ht="15" hidden="false" customHeight="true" outlineLevel="0" collapsed="false">
      <c r="A57" s="13" t="s">
        <v>57</v>
      </c>
      <c r="B57" s="17" t="n">
        <v>0.429</v>
      </c>
      <c r="C57" s="15" t="n">
        <v>1335884831.89</v>
      </c>
      <c r="D57" s="14" t="n">
        <v>1309</v>
      </c>
    </row>
    <row r="58" customFormat="false" ht="15" hidden="false" customHeight="true" outlineLevel="0" collapsed="false">
      <c r="A58" s="11" t="s">
        <v>58</v>
      </c>
    </row>
    <row r="59" customFormat="false" ht="15" hidden="false" customHeight="true" outlineLevel="0" collapsed="false">
      <c r="A59" s="12" t="s">
        <v>49</v>
      </c>
      <c r="B59" s="12" t="s">
        <v>59</v>
      </c>
      <c r="C59" s="12" t="s">
        <v>60</v>
      </c>
      <c r="D59" s="12" t="s">
        <v>61</v>
      </c>
    </row>
    <row r="60" customFormat="false" ht="15" hidden="false" customHeight="true" outlineLevel="0" collapsed="false">
      <c r="A60" s="13" t="s">
        <v>56</v>
      </c>
      <c r="B60" s="17" t="n">
        <v>0.737</v>
      </c>
      <c r="C60" s="17" t="n">
        <v>0.455</v>
      </c>
      <c r="D60" s="14" t="s">
        <v>62</v>
      </c>
    </row>
    <row r="61" customFormat="false" ht="15" hidden="false" customHeight="true" outlineLevel="0" collapsed="false">
      <c r="A61" s="13" t="s">
        <v>57</v>
      </c>
      <c r="B61" s="17" t="n">
        <v>0.429</v>
      </c>
      <c r="C61" s="17" t="n">
        <v>0.191</v>
      </c>
      <c r="D61" s="14" t="s">
        <v>63</v>
      </c>
    </row>
    <row r="62" customFormat="false" ht="15" hidden="false" customHeight="true" outlineLevel="0" collapsed="false">
      <c r="A62" s="18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05555555556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&amp;K808080Licensed under the Apache License, Version 2.0  |  AMRChallenge: 00013425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1" customFormat="false" ht="24" hidden="false" customHeight="true" outlineLevel="0" collapsed="false">
      <c r="A1" s="19" t="s">
        <v>65</v>
      </c>
      <c r="B1" s="19"/>
    </row>
    <row r="3" customFormat="false" ht="15" hidden="false" customHeight="true" outlineLevel="0" collapsed="false">
      <c r="B3" s="11" t="s">
        <v>66</v>
      </c>
    </row>
    <row r="4" customFormat="false" ht="79.5" hidden="false" customHeight="true" outlineLevel="0" collapsed="false">
      <c r="B4" s="20" t="s">
        <v>67</v>
      </c>
    </row>
    <row r="6" customFormat="false" ht="15" hidden="false" customHeight="true" outlineLevel="0" collapsed="false">
      <c r="B6" s="11" t="s">
        <v>68</v>
      </c>
    </row>
    <row r="7" customFormat="false" ht="79.5" hidden="false" customHeight="true" outlineLevel="0" collapsed="false">
      <c r="B7" s="20" t="s">
        <v>69</v>
      </c>
    </row>
    <row r="9" customFormat="false" ht="15" hidden="false" customHeight="true" outlineLevel="0" collapsed="false">
      <c r="B9" s="11" t="s">
        <v>70</v>
      </c>
    </row>
    <row r="10" customFormat="false" ht="79.5" hidden="false" customHeight="true" outlineLevel="0" collapsed="false">
      <c r="B10" s="20" t="s">
        <v>71</v>
      </c>
    </row>
    <row r="12" customFormat="false" ht="15" hidden="false" customHeight="true" outlineLevel="0" collapsed="false">
      <c r="B12" s="11" t="s">
        <v>72</v>
      </c>
    </row>
    <row r="13" customFormat="false" ht="79.5" hidden="false" customHeight="true" outlineLevel="0" collapsed="false">
      <c r="B13" s="20" t="s">
        <v>73</v>
      </c>
    </row>
    <row r="15" customFormat="false" ht="15" hidden="false" customHeight="true" outlineLevel="0" collapsed="false">
      <c r="B15" s="11" t="s">
        <v>74</v>
      </c>
    </row>
    <row r="16" customFormat="false" ht="79.5" hidden="false" customHeight="true" outlineLevel="0" collapsed="false">
      <c r="B16" s="20" t="s">
        <v>75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&amp;K808080Licensed under the Apache License, Version 2.0  |  AMRChallenge: 00013425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2026-08-01T07:56:58Z</dcterms:created>
  <dc:creator>openpyxl</dc:creator>
  <dc:description/>
  <dc:language>en-US</dc:language>
  <cp:lastModifiedBy/>
  <dcterms:modified xsi:type="dcterms:W3CDTF">2026-08-02T16:06:52Z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